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th099\Documents\GitHub\ME2011-Project\"/>
    </mc:Choice>
  </mc:AlternateContent>
  <xr:revisionPtr revIDLastSave="0" documentId="8_{2379C61C-766B-44CA-BF1C-FD914AF9A2D6}" xr6:coauthVersionLast="47" xr6:coauthVersionMax="47" xr10:uidLastSave="{00000000-0000-0000-0000-000000000000}"/>
  <bookViews>
    <workbookView xWindow="-120" yWindow="-120" windowWidth="51840" windowHeight="21120" xr2:uid="{BA7A7D3A-62A1-4763-9D4E-81D9E0F0C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" l="1"/>
  <c r="G3" i="1"/>
  <c r="G4" i="1"/>
  <c r="G11" i="1"/>
  <c r="G12" i="1"/>
  <c r="G13" i="1"/>
  <c r="G14" i="1"/>
  <c r="G15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<sst xmlns="http://schemas.openxmlformats.org/spreadsheetml/2006/main" count="84" uniqueCount="55">
  <si>
    <t>Description</t>
  </si>
  <si>
    <t>No.</t>
  </si>
  <si>
    <t>Part Num.</t>
  </si>
  <si>
    <t>Source</t>
  </si>
  <si>
    <t>Unit Price</t>
  </si>
  <si>
    <t>Qty.</t>
  </si>
  <si>
    <t>Total Price</t>
  </si>
  <si>
    <t>Arduino Uno</t>
  </si>
  <si>
    <t>Differential Pressure Sensor</t>
  </si>
  <si>
    <t>Barometric Altimeter</t>
  </si>
  <si>
    <t>Servo Motor</t>
  </si>
  <si>
    <t>Red LED</t>
  </si>
  <si>
    <t>Push Button</t>
  </si>
  <si>
    <t>220 Ohm Resistor</t>
  </si>
  <si>
    <t>10 kOhm Resistor</t>
  </si>
  <si>
    <t>550 mAh 2s LiPo</t>
  </si>
  <si>
    <t>XT-30 Connector</t>
  </si>
  <si>
    <t>Cardboard Tube</t>
  </si>
  <si>
    <t>10-32 Threaded Rod</t>
  </si>
  <si>
    <t>N/A</t>
  </si>
  <si>
    <t>Hot Glue, Stick</t>
  </si>
  <si>
    <t>Electrical Tape, Roll</t>
  </si>
  <si>
    <t>PLA Filament, Roll</t>
  </si>
  <si>
    <t>Braided Copper Wire, Pack</t>
  </si>
  <si>
    <t>ME2011 Kit</t>
  </si>
  <si>
    <t>DigiKey</t>
  </si>
  <si>
    <t>Recycling</t>
  </si>
  <si>
    <t>Anderson Labs</t>
  </si>
  <si>
    <t>Already Owned</t>
  </si>
  <si>
    <t>NC</t>
  </si>
  <si>
    <t>O-RL-100C-550-2S1P-XT30</t>
  </si>
  <si>
    <t>‎MC-5-XT30-SH-M/F</t>
  </si>
  <si>
    <t>BMP388</t>
  </si>
  <si>
    <t>MPX5010DP</t>
  </si>
  <si>
    <t>Adafruit Industries LLC / 169</t>
  </si>
  <si>
    <t>Arduino Uno R3</t>
  </si>
  <si>
    <t>91841A009</t>
  </si>
  <si>
    <t>10-32 Nylon Lock Nut</t>
  </si>
  <si>
    <t>8-32, 1.25" Socket Head Bolt</t>
  </si>
  <si>
    <t>10-32, 12" Aluminum Threaded Rod</t>
  </si>
  <si>
    <t>0.1" WD, 8" LG Cable Tie</t>
  </si>
  <si>
    <t>3M Electrical Tape</t>
  </si>
  <si>
    <t>Bambu Labs PLA Filament, 1kg</t>
  </si>
  <si>
    <t>3mm Red LED</t>
  </si>
  <si>
    <t>6mm Tactile Button Switch</t>
  </si>
  <si>
    <t>Unknown</t>
  </si>
  <si>
    <t>22 AWG Copper Braided Wire</t>
  </si>
  <si>
    <t>220 Ohm 1/4 W Resistor</t>
  </si>
  <si>
    <t>10 kOhm 1/4 W Resistor</t>
  </si>
  <si>
    <t>10-32 Nut, Pack</t>
  </si>
  <si>
    <t>8-32 Bolt, Pack</t>
  </si>
  <si>
    <t>8-32 Nut, Pack</t>
  </si>
  <si>
    <t>Zip Tie, Pack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</si>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</sst>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2" fillId="2" borderId="0" xfId="0" applyFont="1" applyFill="1" applyAlignment="1">
      <alignment horizontal="center"/>
    </xf>
    <xf numFmtId="44" fontId="2" fillId="2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7646-54EF-4D76-A62D-2F965BA1CC21}">
  <dimension ref="A1:G22"/>
  <sheetViews>
    <sheetView tabSelected="1" zoomScale="145" zoomScaleNormal="145" workbookViewId="0">
      <selection activeCell="H29" sqref="H29"/>
    </sheetView>
  </sheetViews>
  <sheetFormatPr defaultRowHeight="15" x14ac:dyDescent="0.25"/>
  <cols>
    <col min="1" max="1" width="4.5703125" customWidth="1"/>
    <col min="2" max="2" width="25.28515625" customWidth="1"/>
    <col min="3" max="3" width="32.7109375" customWidth="1"/>
    <col min="4" max="4" width="19.7109375" customWidth="1"/>
    <col min="5" max="5" width="10" style="1" customWidth="1"/>
    <col min="6" max="6" width="5.28515625" customWidth="1"/>
    <col min="7" max="7" width="9.140625" style="1"/>
  </cols>
  <sheetData>
    <row r="1" spans="1:7" s="4" customFormat="1" x14ac:dyDescent="0.25">
      <c r="A1" s="2" t="s">
        <v>1</v>
      </c>
      <c r="B1" s="2" t="s">
        <v>0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spans="1:7" x14ac:dyDescent="0.25">
      <c r="A2">
        <v>1</v>
      </c>
      <c r="B2" t="s">
        <v>7</v>
      </c>
      <c r="C2" t="s">
        <v>35</v>
      </c>
      <c r="D2" t="s">
        <v>24</v>
      </c>
      <c r="E2" s="1" t="s">
        <v>29</v>
      </c>
      <c r="F2">
        <v>1</v>
      </c>
      <c r="G2" s="1" t="s">
        <v>29</v>
      </c>
    </row>
    <row r="3" spans="1:7" x14ac:dyDescent="0.25">
      <c r="A3">
        <v>2</v>
      </c>
      <c r="B3" t="s">
        <v>9</v>
      </c>
      <c r="C3" t="s">
        <v>32</v>
      </c>
      <c r="D3" t="s">
        <v>25</v>
      </c>
      <c r="E3" s="1">
        <v>9.9499999999999993</v>
      </c>
      <c r="F3">
        <v>1</v>
      </c>
      <c r="G3" s="1">
        <f t="shared" ref="G3:G21" si="0">E3*F3</f>
        <v>9.9499999999999993</v>
      </c>
    </row>
    <row r="4" spans="1:7" x14ac:dyDescent="0.25">
      <c r="A4">
        <v>3</v>
      </c>
      <c r="B4" t="s">
        <v>8</v>
      </c>
      <c r="C4" t="s">
        <v>33</v>
      </c>
      <c r="D4" t="s">
        <v>25</v>
      </c>
      <c r="E4" s="1">
        <v>17.899999999999999</v>
      </c>
      <c r="F4">
        <v>1</v>
      </c>
      <c r="G4" s="1">
        <f t="shared" si="0"/>
        <v>17.899999999999999</v>
      </c>
    </row>
    <row r="5" spans="1:7" x14ac:dyDescent="0.25">
      <c r="A5">
        <v>4</v>
      </c>
      <c r="B5" t="s">
        <v>10</v>
      </c>
      <c r="C5" t="s">
        <v>34</v>
      </c>
      <c r="D5" t="s">
        <v>24</v>
      </c>
      <c r="E5" s="1" t="s">
        <v>29</v>
      </c>
      <c r="F5">
        <v>1</v>
      </c>
      <c r="G5" s="1" t="s">
        <v>29</v>
      </c>
    </row>
    <row r="6" spans="1:7" x14ac:dyDescent="0.25">
      <c r="A6">
        <v>5</v>
      </c>
      <c r="B6" t="s">
        <v>11</v>
      </c>
      <c r="C6" t="s">
        <v>43</v>
      </c>
      <c r="D6" t="s">
        <v>24</v>
      </c>
      <c r="E6" s="1" t="s">
        <v>29</v>
      </c>
      <c r="F6">
        <v>1</v>
      </c>
      <c r="G6" s="1" t="s">
        <v>29</v>
      </c>
    </row>
    <row r="7" spans="1:7" x14ac:dyDescent="0.25">
      <c r="A7">
        <v>6</v>
      </c>
      <c r="B7" t="s">
        <v>12</v>
      </c>
      <c r="C7" t="s">
        <v>44</v>
      </c>
      <c r="D7" t="s">
        <v>24</v>
      </c>
      <c r="E7" s="1" t="s">
        <v>29</v>
      </c>
      <c r="F7">
        <v>1</v>
      </c>
      <c r="G7" s="1" t="s">
        <v>29</v>
      </c>
    </row>
    <row r="8" spans="1:7" x14ac:dyDescent="0.25">
      <c r="A8">
        <v>7</v>
      </c>
      <c r="B8" t="s">
        <v>23</v>
      </c>
      <c r="C8" t="s">
        <v>46</v>
      </c>
      <c r="D8" t="s">
        <v>24</v>
      </c>
      <c r="E8" s="1" t="s">
        <v>29</v>
      </c>
      <c r="F8">
        <v>1</v>
      </c>
      <c r="G8" s="1" t="s">
        <v>29</v>
      </c>
    </row>
    <row r="9" spans="1:7" x14ac:dyDescent="0.25">
      <c r="A9">
        <v>8</v>
      </c>
      <c r="B9" t="s">
        <v>13</v>
      </c>
      <c r="C9" t="s">
        <v>47</v>
      </c>
      <c r="D9" t="s">
        <v>24</v>
      </c>
      <c r="E9" s="1" t="s">
        <v>29</v>
      </c>
      <c r="F9">
        <v>1</v>
      </c>
      <c r="G9" s="1" t="s">
        <v>29</v>
      </c>
    </row>
    <row r="10" spans="1:7" x14ac:dyDescent="0.25">
      <c r="A10">
        <v>9</v>
      </c>
      <c r="B10" t="s">
        <v>14</v>
      </c>
      <c r="C10" t="s">
        <v>48</v>
      </c>
      <c r="D10" t="s">
        <v>24</v>
      </c>
      <c r="E10" s="1" t="s">
        <v>29</v>
      </c>
      <c r="F10">
        <v>1</v>
      </c>
      <c r="G10" s="1" t="s">
        <v>29</v>
      </c>
    </row>
    <row r="11" spans="1:7" x14ac:dyDescent="0.25">
      <c r="A11">
        <v>10</v>
      </c>
      <c r="B11" t="s">
        <v>15</v>
      </c>
      <c r="C11" t="s">
        <v>30</v>
      </c>
      <c r="D11" t="s">
        <v>28</v>
      </c>
      <c r="E11" s="1">
        <v>12.99</v>
      </c>
      <c r="F11">
        <v>1</v>
      </c>
      <c r="G11" s="1">
        <f t="shared" si="0"/>
        <v>12.99</v>
      </c>
    </row>
    <row r="12" spans="1:7" x14ac:dyDescent="0.25">
      <c r="A12">
        <v>11</v>
      </c>
      <c r="B12" t="s">
        <v>16</v>
      </c>
      <c r="C12" t="s">
        <v>31</v>
      </c>
      <c r="D12" t="s">
        <v>28</v>
      </c>
      <c r="E12" s="1">
        <v>4.9000000000000004</v>
      </c>
      <c r="F12">
        <v>1</v>
      </c>
      <c r="G12" s="1">
        <f t="shared" si="0"/>
        <v>4.9000000000000004</v>
      </c>
    </row>
    <row r="13" spans="1:7" x14ac:dyDescent="0.25">
      <c r="A13">
        <v>12</v>
      </c>
      <c r="B13" t="s">
        <v>17</v>
      </c>
      <c r="C13" t="s">
        <v>19</v>
      </c>
      <c r="D13" t="s">
        <v>26</v>
      </c>
      <c r="E13" s="1">
        <v>0</v>
      </c>
      <c r="F13">
        <v>1</v>
      </c>
      <c r="G13" s="1">
        <f t="shared" si="0"/>
        <v>0</v>
      </c>
    </row>
    <row r="14" spans="1:7" x14ac:dyDescent="0.25">
      <c r="A14">
        <v>13</v>
      </c>
      <c r="B14" t="s">
        <v>22</v>
      </c>
      <c r="C14" t="s">
        <v>42</v>
      </c>
      <c r="D14" t="s">
        <v>27</v>
      </c>
      <c r="E14" s="1">
        <v>13.99</v>
      </c>
      <c r="F14">
        <v>1</v>
      </c>
      <c r="G14" s="1">
        <f t="shared" si="0"/>
        <v>13.99</v>
      </c>
    </row>
    <row r="15" spans="1:7" x14ac:dyDescent="0.25">
      <c r="A15">
        <v>14</v>
      </c>
      <c r="B15" t="s">
        <v>21</v>
      </c>
      <c r="C15" t="s">
        <v>41</v>
      </c>
      <c r="D15" t="s">
        <v>28</v>
      </c>
      <c r="E15" s="1">
        <v>4.33</v>
      </c>
      <c r="F15">
        <v>1</v>
      </c>
      <c r="G15" s="1">
        <f>E15*F15</f>
        <v>4.33</v>
      </c>
    </row>
    <row r="16" spans="1:7" x14ac:dyDescent="0.25">
      <c r="A16">
        <v>15</v>
      </c>
      <c r="B16" t="s">
        <v>20</v>
      </c>
      <c r="C16" t="s">
        <v>45</v>
      </c>
      <c r="D16" t="s">
        <v>27</v>
      </c>
      <c r="E16" s="1" t="s">
        <v>45</v>
      </c>
      <c r="F16">
        <v>1</v>
      </c>
      <c r="G16" s="1">
        <v>0</v>
      </c>
    </row>
    <row r="17" spans="1:7" x14ac:dyDescent="0.25">
      <c r="A17">
        <v>16</v>
      </c>
      <c r="B17" t="s">
        <v>18</v>
      </c>
      <c r="C17" t="s">
        <v>39</v>
      </c>
      <c r="D17" t="s">
        <v>28</v>
      </c>
      <c r="E17" s="1">
        <v>4.5999999999999996</v>
      </c>
      <c r="F17">
        <v>2</v>
      </c>
      <c r="G17" s="1">
        <f t="shared" si="0"/>
        <v>9.1999999999999993</v>
      </c>
    </row>
    <row r="18" spans="1:7" x14ac:dyDescent="0.25">
      <c r="A18">
        <v>17</v>
      </c>
      <c r="B18" t="s">
        <v>49</v>
      </c>
      <c r="C18" t="s">
        <v>37</v>
      </c>
      <c r="D18" t="s">
        <v>27</v>
      </c>
      <c r="E18" s="1">
        <v>5.15</v>
      </c>
      <c r="F18">
        <v>1</v>
      </c>
      <c r="G18" s="1">
        <f>E18*F18</f>
        <v>5.15</v>
      </c>
    </row>
    <row r="19" spans="1:7" x14ac:dyDescent="0.25">
      <c r="A19">
        <v>18</v>
      </c>
      <c r="B19" t="s">
        <v>50</v>
      </c>
      <c r="C19" t="s">
        <v>38</v>
      </c>
      <c r="D19" t="s">
        <v>27</v>
      </c>
      <c r="E19" s="1">
        <v>10.82</v>
      </c>
      <c r="F19">
        <v>1</v>
      </c>
      <c r="G19" s="1">
        <f t="shared" si="0"/>
        <v>10.82</v>
      </c>
    </row>
    <row r="20" spans="1:7" x14ac:dyDescent="0.25">
      <c r="A20">
        <v>19</v>
      </c>
      <c r="B20" t="s">
        <v>51</v>
      </c>
      <c r="C20" t="s">
        <v>36</v>
      </c>
      <c r="D20" t="s">
        <v>27</v>
      </c>
      <c r="E20" s="1">
        <v>4.7300000000000004</v>
      </c>
      <c r="F20">
        <v>1</v>
      </c>
      <c r="G20" s="1">
        <f t="shared" si="0"/>
        <v>4.7300000000000004</v>
      </c>
    </row>
    <row r="21" spans="1:7" x14ac:dyDescent="0.25">
      <c r="A21">
        <v>20</v>
      </c>
      <c r="B21" t="s">
        <v>52</v>
      </c>
      <c r="C21" t="s">
        <v>40</v>
      </c>
      <c r="D21" t="s">
        <v>28</v>
      </c>
      <c r="E21" s="1">
        <v>7.4</v>
      </c>
      <c r="F21">
        <v>1</v>
      </c>
      <c r="G21" s="1">
        <f t="shared" si="0"/>
        <v>7.4</v>
      </c>
    </row>
    <row r="22" spans="1:7" x14ac:dyDescent="0.25">
      <c r="A22" s="5" t="s">
        <v>53</v>
      </c>
      <c r="B22" s="6" t="s">
        <v>54</v>
      </c>
      <c r="C22" s="6"/>
      <c r="D22" s="6"/>
      <c r="E22" s="6"/>
      <c r="F22" s="6"/>
      <c r="G22" s="1">
        <f>SUM(G3,G4,G11,G12,G14,G15,G17,G18,G19,G21,G20)</f>
        <v>101.36000000000003</v>
      </c>
    </row>
  </sheetData>
  <mergeCells count="1">
    <mergeCell ref="B22:F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C Murtha</dc:creator>
  <cp:lastModifiedBy>Owen C Murtha</cp:lastModifiedBy>
  <dcterms:created xsi:type="dcterms:W3CDTF">2026-05-04T16:14:51Z</dcterms:created>
  <dcterms:modified xsi:type="dcterms:W3CDTF">2026-05-04T16:49:25Z</dcterms:modified>
</cp:coreProperties>
</file>